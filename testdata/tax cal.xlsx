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Selenium\TestFrameworkDemo\testdata\"/>
    </mc:Choice>
  </mc:AlternateContent>
  <xr:revisionPtr revIDLastSave="0" documentId="13_ncr:1_{F18D0C1B-3A15-4839-BBB2-16E130839512}" xr6:coauthVersionLast="47" xr6:coauthVersionMax="47" xr10:uidLastSave="{00000000-0000-0000-0000-000000000000}"/>
  <bookViews>
    <workbookView xWindow="-110" yWindow="-110" windowWidth="19420" windowHeight="10300" xr2:uid="{40BAD801-EAB4-4F9B-B7BC-4C702B0C7781}"/>
  </bookViews>
  <sheets>
    <sheet name="F.Y2024-25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V15" i="1" l="1"/>
  <c r="AV13" i="1"/>
  <c r="AT4" i="1"/>
  <c r="AV4" i="1" s="1"/>
  <c r="AR2" i="1"/>
  <c r="AS2" i="1" s="1"/>
  <c r="AP2" i="1"/>
  <c r="AN21" i="1"/>
  <c r="AN19" i="1"/>
  <c r="AS7" i="1"/>
  <c r="AR7" i="1"/>
  <c r="D12" i="1"/>
  <c r="AQ12" i="1"/>
  <c r="AM8" i="1"/>
  <c r="AM7" i="1"/>
  <c r="AP7" i="1" s="1"/>
  <c r="AQ7" i="1" s="1"/>
  <c r="AM6" i="1"/>
  <c r="AP6" i="1" s="1"/>
  <c r="AQ6" i="1" s="1"/>
  <c r="AP5" i="1"/>
  <c r="AQ5" i="1" s="1"/>
  <c r="AM5" i="1"/>
  <c r="AM4" i="1"/>
  <c r="AP4" i="1" s="1"/>
  <c r="AP3" i="1"/>
  <c r="AA1" i="1"/>
  <c r="AI2" i="1"/>
  <c r="AJ12" i="1"/>
  <c r="AF7" i="1"/>
  <c r="AI7" i="1"/>
  <c r="AJ7" i="1" s="1"/>
  <c r="AF6" i="1"/>
  <c r="AF5" i="1"/>
  <c r="AI6" i="1" s="1"/>
  <c r="AJ6" i="1" s="1"/>
  <c r="AF4" i="1"/>
  <c r="AI5" i="1" s="1"/>
  <c r="AJ5" i="1" s="1"/>
  <c r="AF3" i="1"/>
  <c r="AI4" i="1" s="1"/>
  <c r="AI3" i="1"/>
  <c r="AB11" i="1"/>
  <c r="X7" i="1"/>
  <c r="X6" i="1"/>
  <c r="AA6" i="1" s="1"/>
  <c r="AB6" i="1" s="1"/>
  <c r="X5" i="1"/>
  <c r="AA5" i="1" s="1"/>
  <c r="AB5" i="1" s="1"/>
  <c r="X4" i="1"/>
  <c r="AA4" i="1" s="1"/>
  <c r="AB4" i="1" s="1"/>
  <c r="X3" i="1"/>
  <c r="AA3" i="1" s="1"/>
  <c r="AA2" i="1"/>
  <c r="AB2" i="1" s="1"/>
  <c r="AA7" i="1" l="1"/>
  <c r="AB7" i="1" s="1"/>
  <c r="AQ4" i="1"/>
  <c r="AP8" i="1"/>
  <c r="AQ8" i="1" s="1"/>
  <c r="AQ3" i="1"/>
  <c r="AJ4" i="1"/>
  <c r="AI8" i="1"/>
  <c r="AJ8" i="1" s="1"/>
  <c r="AJ3" i="1"/>
  <c r="AB3" i="1"/>
  <c r="AB8" i="1" s="1"/>
  <c r="AB9" i="1" s="1"/>
  <c r="AA8" i="1"/>
  <c r="AA9" i="1"/>
  <c r="V1" i="1"/>
  <c r="S1" i="1"/>
  <c r="P7" i="1"/>
  <c r="P6" i="1"/>
  <c r="S6" i="1" s="1"/>
  <c r="T6" i="1" s="1"/>
  <c r="P5" i="1"/>
  <c r="S5" i="1" s="1"/>
  <c r="T5" i="1" s="1"/>
  <c r="P4" i="1"/>
  <c r="S4" i="1" s="1"/>
  <c r="T4" i="1" s="1"/>
  <c r="P3" i="1"/>
  <c r="S3" i="1" s="1"/>
  <c r="T3" i="1" s="1"/>
  <c r="S2" i="1"/>
  <c r="M7" i="1"/>
  <c r="N7" i="1" s="1"/>
  <c r="H7" i="1"/>
  <c r="H6" i="1"/>
  <c r="K6" i="1" s="1"/>
  <c r="L6" i="1" s="1"/>
  <c r="H5" i="1"/>
  <c r="K5" i="1" s="1"/>
  <c r="H4" i="1"/>
  <c r="K4" i="1" s="1"/>
  <c r="H3" i="1"/>
  <c r="K3" i="1" s="1"/>
  <c r="L3" i="1" s="1"/>
  <c r="K2" i="1"/>
  <c r="A9" i="2"/>
  <c r="A8" i="2"/>
  <c r="A7" i="2"/>
  <c r="A6" i="2"/>
  <c r="A5" i="2"/>
  <c r="A4" i="2"/>
  <c r="A7" i="1"/>
  <c r="D15" i="1"/>
  <c r="A19" i="1"/>
  <c r="A18" i="1"/>
  <c r="D18" i="1" s="1"/>
  <c r="E18" i="1" s="1"/>
  <c r="A17" i="1"/>
  <c r="D17" i="1" s="1"/>
  <c r="E17" i="1" s="1"/>
  <c r="D16" i="1"/>
  <c r="D2" i="1"/>
  <c r="E2" i="1" s="1"/>
  <c r="A6" i="1"/>
  <c r="D6" i="1" s="1"/>
  <c r="A5" i="1"/>
  <c r="D5" i="1" s="1"/>
  <c r="A4" i="1"/>
  <c r="D4" i="1" s="1"/>
  <c r="A3" i="1"/>
  <c r="D3" i="1" s="1"/>
  <c r="K7" i="1" l="1"/>
  <c r="AQ9" i="1"/>
  <c r="AP9" i="1"/>
  <c r="AP10" i="1" s="1"/>
  <c r="AQ10" i="1"/>
  <c r="AQ11" i="1" s="1"/>
  <c r="E5" i="1"/>
  <c r="L4" i="1"/>
  <c r="AI9" i="1"/>
  <c r="AI10" i="1" s="1"/>
  <c r="AJ9" i="1"/>
  <c r="AB10" i="1"/>
  <c r="AB12" i="1" s="1"/>
  <c r="T2" i="1"/>
  <c r="S7" i="1"/>
  <c r="T7" i="1" s="1"/>
  <c r="L5" i="1"/>
  <c r="E4" i="1"/>
  <c r="L2" i="1"/>
  <c r="D8" i="1"/>
  <c r="D7" i="1"/>
  <c r="D19" i="1"/>
  <c r="D20" i="1" s="1"/>
  <c r="E3" i="1"/>
  <c r="F6" i="1"/>
  <c r="E6" i="1" s="1"/>
  <c r="E16" i="1"/>
  <c r="AQ13" i="1" l="1"/>
  <c r="AS12" i="1"/>
  <c r="AS11" i="1"/>
  <c r="AJ10" i="1"/>
  <c r="AJ11" i="1" s="1"/>
  <c r="AJ13" i="1" s="1"/>
  <c r="T8" i="1"/>
  <c r="S8" i="1"/>
  <c r="S9" i="1" s="1"/>
  <c r="E8" i="1"/>
  <c r="E9" i="1" s="1"/>
  <c r="E10" i="1" s="1"/>
  <c r="E19" i="1"/>
  <c r="E20" i="1" s="1"/>
  <c r="E21" i="1" s="1"/>
  <c r="E22" i="1" s="1"/>
  <c r="U9" i="1" l="1"/>
  <c r="T9" i="1" s="1"/>
  <c r="T10" i="1" s="1"/>
  <c r="L7" i="1"/>
  <c r="L8" i="1" s="1"/>
  <c r="L9" i="1" s="1"/>
  <c r="K8" i="1"/>
  <c r="K9" i="1" s="1"/>
  <c r="U10" i="1" l="1"/>
  <c r="L10" i="1"/>
</calcChain>
</file>

<file path=xl/sharedStrings.xml><?xml version="1.0" encoding="utf-8"?>
<sst xmlns="http://schemas.openxmlformats.org/spreadsheetml/2006/main" count="33" uniqueCount="19">
  <si>
    <t>%</t>
  </si>
  <si>
    <t>saving act</t>
  </si>
  <si>
    <t>80C</t>
  </si>
  <si>
    <t>Cess</t>
  </si>
  <si>
    <t>F.Y 2025-26</t>
  </si>
  <si>
    <t>home loan int on let out propety allowed</t>
  </si>
  <si>
    <t>upto 14%of basic pay allowed</t>
  </si>
  <si>
    <t>Employer's contri to nps-80ccd(2)</t>
  </si>
  <si>
    <t>Contri to agniveer corpus fund -80CCH</t>
  </si>
  <si>
    <t>Perquisties for official purpose</t>
  </si>
  <si>
    <t>Ded on family pension income</t>
  </si>
  <si>
    <t>Max 25k</t>
  </si>
  <si>
    <t>Gift received upto 50k Daiy allowance</t>
  </si>
  <si>
    <t>Conveyance allpwance</t>
  </si>
  <si>
    <t>Transport allowance for specially - abled person</t>
  </si>
  <si>
    <t>Surcharge 10%</t>
  </si>
  <si>
    <t>goingfrom</t>
  </si>
  <si>
    <t>goingto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</si>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</sst>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43" fontId="0" fillId="0" borderId="0" xfId="1" applyFont="1"/>
    <xf numFmtId="43" fontId="0" fillId="0" borderId="0" xfId="0" applyNumberFormat="1"/>
    <xf numFmtId="43" fontId="2" fillId="0" borderId="0" xfId="0" applyNumberFormat="1" applyFont="1"/>
    <xf numFmtId="43" fontId="0" fillId="2" borderId="0" xfId="0" applyNumberFormat="1" applyFill="1"/>
    <xf numFmtId="43" fontId="0" fillId="3" borderId="0" xfId="0" applyNumberFormat="1" applyFill="1"/>
    <xf numFmtId="43" fontId="0" fillId="5" borderId="0" xfId="1" applyFont="1" applyFill="1"/>
    <xf numFmtId="43" fontId="2" fillId="5" borderId="0" xfId="1" applyFont="1" applyFill="1"/>
    <xf numFmtId="43" fontId="2" fillId="5" borderId="0" xfId="0" applyNumberFormat="1" applyFont="1" applyFill="1"/>
    <xf numFmtId="0" fontId="2" fillId="4" borderId="0" xfId="0" applyFont="1" applyFill="1"/>
    <xf numFmtId="43" fontId="2" fillId="4" borderId="0" xfId="1" applyFont="1" applyFill="1"/>
    <xf numFmtId="43" fontId="0" fillId="3" borderId="0" xfId="1" applyFont="1" applyFill="1"/>
    <xf numFmtId="43" fontId="2" fillId="0" borderId="0" xfId="1" applyFont="1"/>
    <xf numFmtId="43" fontId="0" fillId="0" borderId="0" xfId="1" applyFont="1" applyFill="1"/>
    <xf numFmtId="43" fontId="3" fillId="0" borderId="0" xfId="1" applyFont="1"/>
    <xf numFmtId="43" fontId="3" fillId="0" borderId="0" xfId="0" applyNumberFormat="1" applyFont="1"/>
    <xf numFmtId="43" fontId="4" fillId="6" borderId="0" xfId="1" applyFont="1" applyFill="1"/>
    <xf numFmtId="0" fontId="4" fillId="6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BF2BA-40CD-44B7-ACC0-F8FB412C7061}">
  <dimension ref="A1:AW22"/>
  <sheetViews>
    <sheetView tabSelected="1" topLeftCell="AI1" workbookViewId="0">
      <selection activeCell="AK2" sqref="AK2"/>
    </sheetView>
  </sheetViews>
  <sheetFormatPr defaultRowHeight="14.5" x14ac:dyDescent="0.35"/>
  <cols>
    <col min="1" max="2" width="12.1796875" bestFit="1" customWidth="1"/>
    <col min="4" max="4" width="12.36328125" bestFit="1" customWidth="1"/>
    <col min="5" max="6" width="12.1796875" bestFit="1" customWidth="1"/>
    <col min="8" max="9" width="12.1796875" bestFit="1" customWidth="1"/>
    <col min="10" max="10" width="2.81640625" bestFit="1" customWidth="1"/>
    <col min="11" max="11" width="12.90625" bestFit="1" customWidth="1"/>
    <col min="12" max="12" width="12" bestFit="1" customWidth="1"/>
    <col min="13" max="13" width="11.1796875" bestFit="1" customWidth="1"/>
    <col min="16" max="17" width="12.1796875" bestFit="1" customWidth="1"/>
    <col min="18" max="18" width="2.81640625" bestFit="1" customWidth="1"/>
    <col min="19" max="19" width="13.7265625" bestFit="1" customWidth="1"/>
    <col min="20" max="21" width="12.36328125" bestFit="1" customWidth="1"/>
    <col min="24" max="25" width="12.1796875" bestFit="1" customWidth="1"/>
    <col min="26" max="26" width="2.81640625" bestFit="1" customWidth="1"/>
    <col min="27" max="27" width="13.7265625" bestFit="1" customWidth="1"/>
    <col min="28" max="28" width="12.36328125" bestFit="1" customWidth="1"/>
    <col min="32" max="33" width="12.1796875" bestFit="1" customWidth="1"/>
    <col min="34" max="34" width="8.81640625" bestFit="1" customWidth="1"/>
    <col min="35" max="35" width="12.453125" bestFit="1" customWidth="1"/>
    <col min="36" max="36" width="11.36328125" bestFit="1" customWidth="1"/>
    <col min="39" max="40" width="12.1796875" bestFit="1" customWidth="1"/>
    <col min="41" max="41" width="6.26953125" bestFit="1" customWidth="1"/>
    <col min="42" max="42" width="12.36328125" bestFit="1" customWidth="1"/>
    <col min="43" max="43" width="11.81640625" bestFit="1" customWidth="1"/>
    <col min="45" max="45" width="11.1796875" bestFit="1" customWidth="1"/>
  </cols>
  <sheetData>
    <row r="1" spans="1:49" x14ac:dyDescent="0.35">
      <c r="C1" t="s">
        <v>0</v>
      </c>
      <c r="D1" s="9">
        <v>1279130</v>
      </c>
      <c r="J1" t="s">
        <v>0</v>
      </c>
      <c r="K1" s="10">
        <v>1733082</v>
      </c>
      <c r="M1" s="2"/>
      <c r="R1" t="s">
        <v>0</v>
      </c>
      <c r="S1" s="10">
        <f>10743+8064308-75000</f>
        <v>8000051</v>
      </c>
      <c r="V1">
        <f>3315+2693+192+190</f>
        <v>6390</v>
      </c>
      <c r="Z1" t="s">
        <v>0</v>
      </c>
      <c r="AA1" s="10">
        <f>31920+2104157+890124-75000</f>
        <v>2951201</v>
      </c>
      <c r="AD1">
        <v>2104157</v>
      </c>
      <c r="AF1" s="1"/>
      <c r="AG1" s="1"/>
      <c r="AH1" s="1" t="s">
        <v>0</v>
      </c>
      <c r="AI1" t="s">
        <v>16</v>
      </c>
      <c r="AJ1" t="s">
        <v>17</v>
      </c>
      <c r="AK1" s="1" t="s">
        <v>18</v>
      </c>
    </row>
    <row r="2" spans="1:49" x14ac:dyDescent="0.35">
      <c r="A2" s="1"/>
      <c r="B2" s="1">
        <v>300000</v>
      </c>
      <c r="C2">
        <v>0</v>
      </c>
      <c r="D2" s="5">
        <f>B2-A2</f>
        <v>300000</v>
      </c>
      <c r="E2" s="2">
        <f>D2*C2/100</f>
        <v>0</v>
      </c>
      <c r="H2" s="1"/>
      <c r="I2" s="1">
        <v>300000</v>
      </c>
      <c r="J2">
        <v>0</v>
      </c>
      <c r="K2" s="5">
        <f>I2-H2</f>
        <v>300000</v>
      </c>
      <c r="L2" s="2">
        <f>K2*J2/100</f>
        <v>0</v>
      </c>
      <c r="M2" s="2"/>
      <c r="P2" s="1"/>
      <c r="Q2" s="1">
        <v>300000</v>
      </c>
      <c r="R2">
        <v>0</v>
      </c>
      <c r="S2" s="11">
        <f>Q2-P2</f>
        <v>300000</v>
      </c>
      <c r="T2" s="1">
        <f>S2*R2/100</f>
        <v>0</v>
      </c>
      <c r="U2" s="1"/>
      <c r="X2" s="1"/>
      <c r="Y2" s="1">
        <v>300000</v>
      </c>
      <c r="Z2">
        <v>0</v>
      </c>
      <c r="AA2" s="11">
        <f>Y2-X2</f>
        <v>300000</v>
      </c>
      <c r="AB2" s="1">
        <f>AA2*Z2/100</f>
        <v>0</v>
      </c>
      <c r="AF2" s="1"/>
      <c r="AG2" s="1">
        <v>300000</v>
      </c>
      <c r="AH2" s="1">
        <v>0</v>
      </c>
      <c r="AI2" s="10">
        <f>2104157-75000</f>
        <v>2029157</v>
      </c>
      <c r="AJ2" s="1">
        <v>1</v>
      </c>
      <c r="AK2" s="1"/>
      <c r="AL2" s="1"/>
      <c r="AM2" s="1"/>
      <c r="AN2" s="1"/>
      <c r="AO2" s="1" t="s">
        <v>0</v>
      </c>
      <c r="AP2" s="10">
        <f>1501499-54740-75000+159049+3708</f>
        <v>1534516</v>
      </c>
      <c r="AQ2" s="1"/>
      <c r="AR2">
        <f>1501499+159049</f>
        <v>1660548</v>
      </c>
      <c r="AS2">
        <f>AR2-22525</f>
        <v>1638023</v>
      </c>
    </row>
    <row r="3" spans="1:49" x14ac:dyDescent="0.35">
      <c r="A3" s="1">
        <f>B2+1</f>
        <v>300001</v>
      </c>
      <c r="B3" s="1">
        <v>700000</v>
      </c>
      <c r="C3">
        <v>5</v>
      </c>
      <c r="D3" s="5">
        <f>B3-A3+1</f>
        <v>400000</v>
      </c>
      <c r="E3" s="2">
        <f t="shared" ref="E3:E5" si="0">D3*C3/100</f>
        <v>20000</v>
      </c>
      <c r="H3" s="1">
        <f>I2+1</f>
        <v>300001</v>
      </c>
      <c r="I3" s="1">
        <v>700000</v>
      </c>
      <c r="J3">
        <v>5</v>
      </c>
      <c r="K3" s="5">
        <f>I3-H3+1</f>
        <v>400000</v>
      </c>
      <c r="L3" s="1">
        <f t="shared" ref="L3:L7" si="1">K3*J3/100</f>
        <v>20000</v>
      </c>
      <c r="P3" s="1">
        <f>Q2+1</f>
        <v>300001</v>
      </c>
      <c r="Q3" s="1">
        <v>700000</v>
      </c>
      <c r="R3">
        <v>5</v>
      </c>
      <c r="S3" s="11">
        <f>Q3-P3+1</f>
        <v>400000</v>
      </c>
      <c r="T3" s="1">
        <f t="shared" ref="T3:T7" si="2">S3*R3/100</f>
        <v>20000</v>
      </c>
      <c r="U3" s="1"/>
      <c r="X3" s="1">
        <f>Y2+1</f>
        <v>300001</v>
      </c>
      <c r="Y3" s="1">
        <v>700000</v>
      </c>
      <c r="Z3">
        <v>5</v>
      </c>
      <c r="AA3" s="11">
        <f>Y3-X3+1</f>
        <v>400000</v>
      </c>
      <c r="AB3" s="1">
        <f t="shared" ref="AB3:AB7" si="3">AA3*Z3/100</f>
        <v>20000</v>
      </c>
      <c r="AF3" s="1">
        <f>AG2+1</f>
        <v>300001</v>
      </c>
      <c r="AG3" s="1">
        <v>700000</v>
      </c>
      <c r="AH3" s="1">
        <v>5</v>
      </c>
      <c r="AI3" s="11">
        <f>AG2-AF2</f>
        <v>300000</v>
      </c>
      <c r="AJ3" s="1">
        <f>AI3*AH2/100</f>
        <v>0</v>
      </c>
      <c r="AK3" s="1"/>
      <c r="AL3" s="1"/>
      <c r="AM3" s="1"/>
      <c r="AN3" s="1">
        <v>300000</v>
      </c>
      <c r="AO3" s="1">
        <v>0</v>
      </c>
      <c r="AP3" s="11">
        <f>AN3-AM3</f>
        <v>300000</v>
      </c>
      <c r="AQ3" s="1">
        <f>AP3*AO3/100</f>
        <v>0</v>
      </c>
    </row>
    <row r="4" spans="1:49" x14ac:dyDescent="0.35">
      <c r="A4" s="1">
        <f>B3+1</f>
        <v>700001</v>
      </c>
      <c r="B4" s="1">
        <v>1000000</v>
      </c>
      <c r="C4">
        <v>10</v>
      </c>
      <c r="D4" s="5">
        <f t="shared" ref="D4:D6" si="4">B4-A4+1</f>
        <v>300000</v>
      </c>
      <c r="E4" s="2">
        <f t="shared" si="0"/>
        <v>30000</v>
      </c>
      <c r="H4" s="1">
        <f>I3+1</f>
        <v>700001</v>
      </c>
      <c r="I4" s="1">
        <v>1000000</v>
      </c>
      <c r="J4">
        <v>10</v>
      </c>
      <c r="K4" s="5">
        <f t="shared" ref="K4:K6" si="5">I4-H4+1</f>
        <v>300000</v>
      </c>
      <c r="L4" s="1">
        <f t="shared" si="1"/>
        <v>30000</v>
      </c>
      <c r="P4" s="1">
        <f>Q3+1</f>
        <v>700001</v>
      </c>
      <c r="Q4" s="1">
        <v>1000000</v>
      </c>
      <c r="R4">
        <v>10</v>
      </c>
      <c r="S4" s="11">
        <f t="shared" ref="S4:S6" si="6">Q4-P4+1</f>
        <v>300000</v>
      </c>
      <c r="T4" s="1">
        <f t="shared" si="2"/>
        <v>30000</v>
      </c>
      <c r="U4" s="1"/>
      <c r="X4" s="1">
        <f>Y3+1</f>
        <v>700001</v>
      </c>
      <c r="Y4" s="1">
        <v>1000000</v>
      </c>
      <c r="Z4">
        <v>10</v>
      </c>
      <c r="AA4" s="11">
        <f t="shared" ref="AA4:AA6" si="7">Y4-X4+1</f>
        <v>300000</v>
      </c>
      <c r="AB4" s="1">
        <f t="shared" si="3"/>
        <v>30000</v>
      </c>
      <c r="AF4" s="1">
        <f>AG3+1</f>
        <v>700001</v>
      </c>
      <c r="AG4" s="1">
        <v>1000000</v>
      </c>
      <c r="AH4" s="1">
        <v>10</v>
      </c>
      <c r="AI4" s="11">
        <f>AG3-AF3+1</f>
        <v>400000</v>
      </c>
      <c r="AJ4" s="1">
        <f>AI4*AH3/100</f>
        <v>20000</v>
      </c>
      <c r="AK4" s="1"/>
      <c r="AL4" s="1"/>
      <c r="AM4" s="1">
        <f>AN3+1</f>
        <v>300001</v>
      </c>
      <c r="AN4" s="1">
        <v>700000</v>
      </c>
      <c r="AO4" s="1">
        <v>5</v>
      </c>
      <c r="AP4" s="11">
        <f>AN4-AM4+1</f>
        <v>400000</v>
      </c>
      <c r="AQ4" s="1">
        <f t="shared" ref="AQ4:AQ8" si="8">AP4*AO4/100</f>
        <v>20000</v>
      </c>
      <c r="AT4">
        <f>8363+277918</f>
        <v>286281</v>
      </c>
      <c r="AU4">
        <v>308458</v>
      </c>
      <c r="AV4">
        <f>AU4-AT4</f>
        <v>22177</v>
      </c>
    </row>
    <row r="5" spans="1:49" x14ac:dyDescent="0.35">
      <c r="A5" s="1">
        <f>B4+1</f>
        <v>1000001</v>
      </c>
      <c r="B5" s="1">
        <v>1200000</v>
      </c>
      <c r="C5">
        <v>15</v>
      </c>
      <c r="D5" s="5">
        <f t="shared" si="4"/>
        <v>200000</v>
      </c>
      <c r="E5" s="2">
        <f t="shared" si="0"/>
        <v>30000</v>
      </c>
      <c r="H5" s="1">
        <f>I4+1</f>
        <v>1000001</v>
      </c>
      <c r="I5" s="1">
        <v>1200000</v>
      </c>
      <c r="J5">
        <v>15</v>
      </c>
      <c r="K5" s="5">
        <f t="shared" si="5"/>
        <v>200000</v>
      </c>
      <c r="L5" s="1">
        <f t="shared" si="1"/>
        <v>30000</v>
      </c>
      <c r="P5" s="1">
        <f>Q4+1</f>
        <v>1000001</v>
      </c>
      <c r="Q5" s="1">
        <v>1200000</v>
      </c>
      <c r="R5">
        <v>15</v>
      </c>
      <c r="S5" s="11">
        <f t="shared" si="6"/>
        <v>200000</v>
      </c>
      <c r="T5" s="1">
        <f t="shared" si="2"/>
        <v>30000</v>
      </c>
      <c r="U5" s="1"/>
      <c r="X5" s="1">
        <f>Y4+1</f>
        <v>1000001</v>
      </c>
      <c r="Y5" s="1">
        <v>1200000</v>
      </c>
      <c r="Z5">
        <v>15</v>
      </c>
      <c r="AA5" s="11">
        <f t="shared" si="7"/>
        <v>200000</v>
      </c>
      <c r="AB5" s="1">
        <f t="shared" si="3"/>
        <v>30000</v>
      </c>
      <c r="AF5" s="1">
        <f>AG4+1</f>
        <v>1000001</v>
      </c>
      <c r="AG5" s="1">
        <v>1200000</v>
      </c>
      <c r="AH5" s="1">
        <v>15</v>
      </c>
      <c r="AI5" s="11">
        <f>AG4-AF4+1</f>
        <v>300000</v>
      </c>
      <c r="AJ5" s="1">
        <f>AI5*AH4/100</f>
        <v>30000</v>
      </c>
      <c r="AK5" s="1"/>
      <c r="AL5" s="1"/>
      <c r="AM5" s="1">
        <f>AN4+1</f>
        <v>700001</v>
      </c>
      <c r="AN5" s="1">
        <v>1000000</v>
      </c>
      <c r="AO5" s="1">
        <v>10</v>
      </c>
      <c r="AP5" s="11">
        <f t="shared" ref="AP5:AP7" si="9">AN5-AM5+1</f>
        <v>300000</v>
      </c>
      <c r="AQ5" s="1">
        <f t="shared" si="8"/>
        <v>30000</v>
      </c>
      <c r="AT5">
        <v>129625</v>
      </c>
      <c r="AV5">
        <v>1979</v>
      </c>
      <c r="AW5">
        <v>2139</v>
      </c>
    </row>
    <row r="6" spans="1:49" x14ac:dyDescent="0.35">
      <c r="A6" s="1">
        <f>B5+1</f>
        <v>1200001</v>
      </c>
      <c r="B6" s="1">
        <v>1500000</v>
      </c>
      <c r="C6">
        <v>20</v>
      </c>
      <c r="D6" s="5">
        <f t="shared" si="4"/>
        <v>300000</v>
      </c>
      <c r="E6" s="4">
        <f>F6*C6/100</f>
        <v>15826</v>
      </c>
      <c r="F6" s="5">
        <f>D1-SUM(D2:D5)</f>
        <v>79130</v>
      </c>
      <c r="H6" s="1">
        <f>I5+1</f>
        <v>1200001</v>
      </c>
      <c r="I6" s="1">
        <v>1500000</v>
      </c>
      <c r="J6">
        <v>20</v>
      </c>
      <c r="K6" s="5">
        <f t="shared" si="5"/>
        <v>300000</v>
      </c>
      <c r="L6" s="1">
        <f t="shared" si="1"/>
        <v>60000</v>
      </c>
      <c r="M6" s="13"/>
      <c r="P6" s="1">
        <f>Q5+1</f>
        <v>1200001</v>
      </c>
      <c r="Q6" s="1">
        <v>1500000</v>
      </c>
      <c r="R6">
        <v>20</v>
      </c>
      <c r="S6" s="11">
        <f t="shared" si="6"/>
        <v>300000</v>
      </c>
      <c r="T6" s="1">
        <f t="shared" si="2"/>
        <v>60000</v>
      </c>
      <c r="U6" s="1"/>
      <c r="X6" s="1">
        <f>Y5+1</f>
        <v>1200001</v>
      </c>
      <c r="Y6" s="1">
        <v>1500000</v>
      </c>
      <c r="Z6">
        <v>20</v>
      </c>
      <c r="AA6" s="11">
        <f t="shared" si="7"/>
        <v>300000</v>
      </c>
      <c r="AB6" s="1">
        <f t="shared" si="3"/>
        <v>60000</v>
      </c>
      <c r="AF6" s="1">
        <f>AG5+1</f>
        <v>1200001</v>
      </c>
      <c r="AG6" s="1">
        <v>1500000</v>
      </c>
      <c r="AH6" s="1">
        <v>20</v>
      </c>
      <c r="AI6" s="11">
        <f>AG5-AF5+1</f>
        <v>200000</v>
      </c>
      <c r="AJ6" s="1">
        <f>AI6*AH5/100</f>
        <v>30000</v>
      </c>
      <c r="AK6" s="1"/>
      <c r="AL6" s="1"/>
      <c r="AM6" s="1">
        <f>AN5+1</f>
        <v>1000001</v>
      </c>
      <c r="AN6" s="1">
        <v>1200000</v>
      </c>
      <c r="AO6" s="1">
        <v>15</v>
      </c>
      <c r="AP6" s="11">
        <f t="shared" si="9"/>
        <v>200000</v>
      </c>
      <c r="AQ6" s="1">
        <f t="shared" si="8"/>
        <v>30000</v>
      </c>
    </row>
    <row r="7" spans="1:49" x14ac:dyDescent="0.35">
      <c r="A7" s="1">
        <f>B6+1</f>
        <v>1500001</v>
      </c>
      <c r="B7" s="1"/>
      <c r="C7">
        <v>30</v>
      </c>
      <c r="D7" s="2">
        <f>D1-SUM(D2:D6)</f>
        <v>-220870</v>
      </c>
      <c r="E7" s="2"/>
      <c r="F7" s="2"/>
      <c r="H7" s="1">
        <f>I6+1</f>
        <v>1500001</v>
      </c>
      <c r="I7" s="1"/>
      <c r="J7">
        <v>30</v>
      </c>
      <c r="K7" s="5">
        <f>K1-SUM(K2:K6)</f>
        <v>233082</v>
      </c>
      <c r="L7" s="1">
        <f t="shared" si="1"/>
        <v>69924.600000000006</v>
      </c>
      <c r="M7" s="14">
        <f>4882*J7/100</f>
        <v>1464.6</v>
      </c>
      <c r="N7" s="15">
        <f>M7*4/100</f>
        <v>58.583999999999996</v>
      </c>
      <c r="P7" s="1">
        <f>Q6+1</f>
        <v>1500001</v>
      </c>
      <c r="Q7" s="1"/>
      <c r="R7">
        <v>30</v>
      </c>
      <c r="S7" s="11">
        <f>S1-SUM(S2:S6)</f>
        <v>6500051</v>
      </c>
      <c r="T7" s="1">
        <f t="shared" si="2"/>
        <v>1950015.3</v>
      </c>
      <c r="U7" s="1"/>
      <c r="X7" s="1">
        <f>Y6+1</f>
        <v>1500001</v>
      </c>
      <c r="Y7" s="1"/>
      <c r="Z7">
        <v>30</v>
      </c>
      <c r="AA7" s="11">
        <f>AA1-SUM(AA2:AA6)</f>
        <v>1451201</v>
      </c>
      <c r="AB7" s="1">
        <f t="shared" si="3"/>
        <v>435360.3</v>
      </c>
      <c r="AF7" s="1">
        <f>AG6+1</f>
        <v>1500001</v>
      </c>
      <c r="AG7" s="1"/>
      <c r="AH7" s="1">
        <v>30</v>
      </c>
      <c r="AI7" s="11">
        <f>AG6-AF6+1</f>
        <v>300000</v>
      </c>
      <c r="AJ7" s="1">
        <f>AI7*AH6/100</f>
        <v>60000</v>
      </c>
      <c r="AK7" s="1"/>
      <c r="AL7" s="1"/>
      <c r="AM7" s="1">
        <f>AN6+1</f>
        <v>1200001</v>
      </c>
      <c r="AN7" s="1">
        <v>1500000</v>
      </c>
      <c r="AO7" s="1">
        <v>20</v>
      </c>
      <c r="AP7" s="11">
        <f t="shared" si="9"/>
        <v>300000</v>
      </c>
      <c r="AQ7" s="1">
        <f>AP7*AO7/100</f>
        <v>60000</v>
      </c>
      <c r="AR7">
        <f>159049</f>
        <v>159049</v>
      </c>
      <c r="AS7" s="2">
        <f>AR7*AO8/100</f>
        <v>47714.7</v>
      </c>
    </row>
    <row r="8" spans="1:49" x14ac:dyDescent="0.35">
      <c r="D8" s="2">
        <f>SUM(D2:D6)</f>
        <v>1500000</v>
      </c>
      <c r="E8" s="3">
        <f>SUM(E2:E6)</f>
        <v>95826</v>
      </c>
      <c r="K8" s="2">
        <f>SUM(K2:K7)</f>
        <v>1733082</v>
      </c>
      <c r="L8" s="12">
        <f>SUM(L2:L7)</f>
        <v>209924.6</v>
      </c>
      <c r="M8" s="1"/>
      <c r="S8" s="1">
        <f>SUM(S2:S7)</f>
        <v>8000051</v>
      </c>
      <c r="T8" s="12">
        <f>SUM(T2:T7)</f>
        <v>2090015.3</v>
      </c>
      <c r="U8" s="1"/>
      <c r="AA8" s="1">
        <f>SUM(AA2:AA7)</f>
        <v>2951201</v>
      </c>
      <c r="AB8" s="12">
        <f>SUM(AB2:AB7)</f>
        <v>575360.30000000005</v>
      </c>
      <c r="AF8" s="1"/>
      <c r="AG8" s="1"/>
      <c r="AH8" s="1"/>
      <c r="AI8" s="11">
        <f>AI2-SUM(AI3:AI7)</f>
        <v>529157</v>
      </c>
      <c r="AJ8" s="1">
        <f>AI8*AH7/100</f>
        <v>158747.1</v>
      </c>
      <c r="AK8" s="1"/>
      <c r="AL8" s="1"/>
      <c r="AM8" s="1">
        <f>AN7+1</f>
        <v>1500001</v>
      </c>
      <c r="AN8" s="1"/>
      <c r="AO8" s="1">
        <v>30</v>
      </c>
      <c r="AP8" s="11">
        <f>AP2-SUM(AP3:AP7)</f>
        <v>34516</v>
      </c>
      <c r="AQ8" s="1">
        <f t="shared" si="8"/>
        <v>10354.799999999999</v>
      </c>
    </row>
    <row r="9" spans="1:49" x14ac:dyDescent="0.35">
      <c r="B9" t="s">
        <v>3</v>
      </c>
      <c r="C9">
        <v>4</v>
      </c>
      <c r="E9" s="2">
        <f>E8*C9/100</f>
        <v>3833.04</v>
      </c>
      <c r="I9" t="s">
        <v>3</v>
      </c>
      <c r="J9">
        <v>4</v>
      </c>
      <c r="K9" s="2">
        <f>SUM(K3:K8)</f>
        <v>3166164</v>
      </c>
      <c r="L9" s="1">
        <f>L8*J9/100</f>
        <v>8396.9840000000004</v>
      </c>
      <c r="M9" s="1"/>
      <c r="Q9" t="s">
        <v>3</v>
      </c>
      <c r="R9">
        <v>4</v>
      </c>
      <c r="S9" s="1">
        <f>SUM(S3:S8)</f>
        <v>15700102</v>
      </c>
      <c r="T9" s="1">
        <f>SUM(U9+T8)*R9/100</f>
        <v>91960.673200000005</v>
      </c>
      <c r="U9" s="16">
        <f>T8*10/100</f>
        <v>209001.53</v>
      </c>
      <c r="V9" s="17" t="s">
        <v>15</v>
      </c>
      <c r="Y9" t="s">
        <v>3</v>
      </c>
      <c r="Z9">
        <v>4</v>
      </c>
      <c r="AA9" s="1">
        <f>SUM(AA3:AA8)</f>
        <v>5602402</v>
      </c>
      <c r="AB9" s="1">
        <f>SUM(AB8)*Z9/100</f>
        <v>23014.412</v>
      </c>
      <c r="AF9" s="1"/>
      <c r="AG9" s="1" t="s">
        <v>3</v>
      </c>
      <c r="AH9" s="1">
        <v>4</v>
      </c>
      <c r="AI9" s="1">
        <f>SUM(AI3:AI8)</f>
        <v>2029157</v>
      </c>
      <c r="AJ9" s="12">
        <f>SUM(AJ3:AJ8)</f>
        <v>298747.09999999998</v>
      </c>
      <c r="AK9" s="1"/>
      <c r="AL9" s="1"/>
      <c r="AM9" s="1"/>
      <c r="AN9" s="1"/>
      <c r="AO9" s="1"/>
      <c r="AP9" s="1">
        <f>SUM(AP3:AP8)</f>
        <v>1534516</v>
      </c>
      <c r="AQ9" s="12">
        <f>SUM(AQ3:AQ8)</f>
        <v>150354.79999999999</v>
      </c>
    </row>
    <row r="10" spans="1:49" x14ac:dyDescent="0.35">
      <c r="E10" s="3">
        <f>E8+E9</f>
        <v>99659.04</v>
      </c>
      <c r="L10" s="12">
        <f>L8+L9</f>
        <v>218321.584</v>
      </c>
      <c r="M10" s="1"/>
      <c r="T10" s="12">
        <f>T8+T9</f>
        <v>2181975.9731999999</v>
      </c>
      <c r="U10" s="3">
        <f>T8+T9+U9</f>
        <v>2390977.5031999997</v>
      </c>
      <c r="AB10" s="12">
        <f>AB8+AB9</f>
        <v>598374.71200000006</v>
      </c>
      <c r="AF10" s="1"/>
      <c r="AG10" s="1"/>
      <c r="AH10" s="1"/>
      <c r="AI10" s="1">
        <f>SUM(AI4:AI9)</f>
        <v>3758314</v>
      </c>
      <c r="AJ10" s="1">
        <f>SUM(AJ9)*AH9/100</f>
        <v>11949.883999999998</v>
      </c>
      <c r="AK10" s="1"/>
      <c r="AL10" s="1"/>
      <c r="AM10" s="1"/>
      <c r="AN10" s="1" t="s">
        <v>3</v>
      </c>
      <c r="AO10" s="1">
        <v>4</v>
      </c>
      <c r="AP10" s="1">
        <f>SUM(AP4:AP9)</f>
        <v>2769032</v>
      </c>
      <c r="AQ10" s="1">
        <f>SUM(AQ9)*AO10/100</f>
        <v>6014.1919999999991</v>
      </c>
    </row>
    <row r="11" spans="1:49" x14ac:dyDescent="0.35">
      <c r="L11" s="1"/>
      <c r="AB11" s="1">
        <f>351746</f>
        <v>351746</v>
      </c>
      <c r="AF11" s="1"/>
      <c r="AG11" s="1"/>
      <c r="AH11" s="1"/>
      <c r="AI11" s="1"/>
      <c r="AJ11" s="12">
        <f>AJ9+AJ10</f>
        <v>310696.984</v>
      </c>
      <c r="AK11" s="1"/>
      <c r="AL11" s="1"/>
      <c r="AM11" s="1"/>
      <c r="AN11" s="1"/>
      <c r="AO11" s="1"/>
      <c r="AP11" s="1"/>
      <c r="AQ11" s="12">
        <f>AQ9+AQ10</f>
        <v>156368.992</v>
      </c>
      <c r="AR11">
        <v>4118</v>
      </c>
      <c r="AS11" s="2">
        <f>AQ11-AR11</f>
        <v>152250.992</v>
      </c>
    </row>
    <row r="12" spans="1:49" x14ac:dyDescent="0.35">
      <c r="D12" s="7">
        <f>1660548-50000-200000</f>
        <v>1410548</v>
      </c>
      <c r="L12" s="1"/>
      <c r="AB12" s="2">
        <f>AB10-AB11</f>
        <v>246628.71200000006</v>
      </c>
      <c r="AF12" s="1"/>
      <c r="AG12" s="1"/>
      <c r="AH12" s="1"/>
      <c r="AI12" s="1"/>
      <c r="AJ12" s="1">
        <f>351746</f>
        <v>351746</v>
      </c>
      <c r="AK12" s="1"/>
      <c r="AL12" s="1"/>
      <c r="AM12" s="1"/>
      <c r="AN12" s="1"/>
      <c r="AO12" s="1"/>
      <c r="AP12" s="1"/>
      <c r="AQ12" s="1">
        <f>351746</f>
        <v>351746</v>
      </c>
      <c r="AR12">
        <v>118925</v>
      </c>
      <c r="AS12" s="2">
        <f>AQ11-AR12</f>
        <v>37443.991999999998</v>
      </c>
    </row>
    <row r="13" spans="1:49" x14ac:dyDescent="0.35">
      <c r="C13" t="s">
        <v>2</v>
      </c>
      <c r="D13" s="6">
        <v>150000</v>
      </c>
      <c r="L13" s="1"/>
      <c r="AI13" s="1"/>
      <c r="AJ13" s="1">
        <f>AJ11-AJ12</f>
        <v>-41049.016000000003</v>
      </c>
      <c r="AK13" s="1"/>
      <c r="AL13" s="1"/>
      <c r="AM13" s="1"/>
      <c r="AN13" s="1"/>
      <c r="AO13" s="1"/>
      <c r="AP13" s="1"/>
      <c r="AQ13" s="1">
        <f>AQ11-AQ12</f>
        <v>-195377.008</v>
      </c>
      <c r="AV13">
        <f>1501499</f>
        <v>1501499</v>
      </c>
    </row>
    <row r="14" spans="1:49" x14ac:dyDescent="0.35">
      <c r="C14" t="s">
        <v>1</v>
      </c>
      <c r="D14" s="6">
        <v>10000</v>
      </c>
      <c r="AV14">
        <v>-54740</v>
      </c>
    </row>
    <row r="15" spans="1:49" x14ac:dyDescent="0.35">
      <c r="C15" t="s">
        <v>0</v>
      </c>
      <c r="D15" s="8">
        <f>D12-D13-D14</f>
        <v>1250548</v>
      </c>
      <c r="AV15">
        <f>SUM(AV13:AV14)</f>
        <v>1446759</v>
      </c>
      <c r="AW15">
        <v>159049</v>
      </c>
    </row>
    <row r="16" spans="1:49" x14ac:dyDescent="0.35">
      <c r="A16" s="1"/>
      <c r="B16" s="1">
        <v>250000</v>
      </c>
      <c r="C16">
        <v>0</v>
      </c>
      <c r="D16" s="1">
        <f>B16-A16</f>
        <v>250000</v>
      </c>
      <c r="E16" s="2">
        <f>D16*C16/100</f>
        <v>0</v>
      </c>
    </row>
    <row r="17" spans="1:40" x14ac:dyDescent="0.35">
      <c r="A17" s="1">
        <f>B16+1</f>
        <v>250001</v>
      </c>
      <c r="B17" s="1">
        <v>500000</v>
      </c>
      <c r="C17">
        <v>5</v>
      </c>
      <c r="D17" s="1">
        <f t="shared" ref="D17:D18" si="10">B17-A17</f>
        <v>249999</v>
      </c>
      <c r="E17" s="2">
        <f t="shared" ref="E17:E19" si="11">D17*C17/100</f>
        <v>12499.95</v>
      </c>
      <c r="AN17">
        <v>54740</v>
      </c>
    </row>
    <row r="18" spans="1:40" x14ac:dyDescent="0.35">
      <c r="A18" s="1">
        <f>B17+1</f>
        <v>500001</v>
      </c>
      <c r="B18" s="1">
        <v>1000000</v>
      </c>
      <c r="C18">
        <v>20</v>
      </c>
      <c r="D18" s="1">
        <f t="shared" si="10"/>
        <v>499999</v>
      </c>
      <c r="E18" s="2">
        <f t="shared" si="11"/>
        <v>99999.8</v>
      </c>
      <c r="AN18">
        <v>-22524</v>
      </c>
    </row>
    <row r="19" spans="1:40" x14ac:dyDescent="0.35">
      <c r="A19" s="1">
        <f>B18+1</f>
        <v>1000001</v>
      </c>
      <c r="B19" s="1"/>
      <c r="C19">
        <v>30</v>
      </c>
      <c r="D19" s="1">
        <f>D15-D16-D17-D18</f>
        <v>250550</v>
      </c>
      <c r="E19" s="2">
        <f t="shared" si="11"/>
        <v>75165</v>
      </c>
      <c r="F19" s="2"/>
      <c r="AN19">
        <f>AN17+AN18</f>
        <v>32216</v>
      </c>
    </row>
    <row r="20" spans="1:40" x14ac:dyDescent="0.35">
      <c r="D20" s="2">
        <f>SUM(D16:D19)</f>
        <v>1250548</v>
      </c>
      <c r="E20" s="3">
        <f>SUM(E16:E19)</f>
        <v>187664.75</v>
      </c>
      <c r="AN20">
        <v>-1802</v>
      </c>
    </row>
    <row r="21" spans="1:40" x14ac:dyDescent="0.35">
      <c r="B21" t="s">
        <v>3</v>
      </c>
      <c r="C21">
        <v>4</v>
      </c>
      <c r="E21" s="2">
        <f>E20*C21/100</f>
        <v>7506.59</v>
      </c>
      <c r="AN21">
        <f>AN19+AN20</f>
        <v>30414</v>
      </c>
    </row>
    <row r="22" spans="1:40" x14ac:dyDescent="0.35">
      <c r="E22" s="3">
        <f>E20+E21</f>
        <v>195171.34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E4744-E6E0-4D3E-8F70-4957963039A6}">
  <dimension ref="A1:I10"/>
  <sheetViews>
    <sheetView workbookViewId="0">
      <selection activeCell="A5" sqref="A5"/>
    </sheetView>
  </sheetViews>
  <sheetFormatPr defaultRowHeight="14.5" x14ac:dyDescent="0.35"/>
  <cols>
    <col min="1" max="2" width="12.1796875" bestFit="1" customWidth="1"/>
    <col min="3" max="3" width="2.81640625" bestFit="1" customWidth="1"/>
  </cols>
  <sheetData>
    <row r="1" spans="1:9" x14ac:dyDescent="0.35">
      <c r="A1" t="s">
        <v>4</v>
      </c>
      <c r="H1" t="s">
        <v>5</v>
      </c>
    </row>
    <row r="2" spans="1:9" x14ac:dyDescent="0.35">
      <c r="C2" t="s">
        <v>0</v>
      </c>
      <c r="H2" t="s">
        <v>7</v>
      </c>
      <c r="I2" t="s">
        <v>6</v>
      </c>
    </row>
    <row r="3" spans="1:9" x14ac:dyDescent="0.35">
      <c r="A3" s="1"/>
      <c r="B3" s="1">
        <v>400000</v>
      </c>
      <c r="C3">
        <v>0</v>
      </c>
      <c r="H3" t="s">
        <v>8</v>
      </c>
    </row>
    <row r="4" spans="1:9" x14ac:dyDescent="0.35">
      <c r="A4" s="1">
        <f t="shared" ref="A4:A9" si="0">B3+1</f>
        <v>400001</v>
      </c>
      <c r="B4" s="1">
        <v>800000</v>
      </c>
      <c r="C4">
        <v>5</v>
      </c>
    </row>
    <row r="5" spans="1:9" x14ac:dyDescent="0.35">
      <c r="A5" s="1">
        <f t="shared" si="0"/>
        <v>800001</v>
      </c>
      <c r="B5" s="1">
        <v>1200000</v>
      </c>
      <c r="C5">
        <v>10</v>
      </c>
    </row>
    <row r="6" spans="1:9" x14ac:dyDescent="0.35">
      <c r="A6" s="1">
        <f t="shared" si="0"/>
        <v>1200001</v>
      </c>
      <c r="B6" s="1">
        <v>1600000</v>
      </c>
      <c r="C6">
        <v>15</v>
      </c>
      <c r="H6" t="s">
        <v>9</v>
      </c>
    </row>
    <row r="7" spans="1:9" x14ac:dyDescent="0.35">
      <c r="A7" s="1">
        <f t="shared" si="0"/>
        <v>1600001</v>
      </c>
      <c r="B7" s="1">
        <v>2000000</v>
      </c>
      <c r="C7">
        <v>20</v>
      </c>
      <c r="H7" t="s">
        <v>10</v>
      </c>
      <c r="I7" t="s">
        <v>11</v>
      </c>
    </row>
    <row r="8" spans="1:9" x14ac:dyDescent="0.35">
      <c r="A8" s="1">
        <f t="shared" si="0"/>
        <v>2000001</v>
      </c>
      <c r="B8" s="1">
        <v>2400000</v>
      </c>
      <c r="C8">
        <v>25</v>
      </c>
      <c r="H8" t="s">
        <v>12</v>
      </c>
    </row>
    <row r="9" spans="1:9" x14ac:dyDescent="0.35">
      <c r="A9" s="1">
        <f t="shared" si="0"/>
        <v>2400001</v>
      </c>
      <c r="B9" s="1"/>
      <c r="C9">
        <v>30</v>
      </c>
      <c r="H9" t="s">
        <v>13</v>
      </c>
    </row>
    <row r="10" spans="1:9" x14ac:dyDescent="0.35">
      <c r="B10" t="s">
        <v>3</v>
      </c>
      <c r="C10">
        <v>4</v>
      </c>
      <c r="H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F.Y2024-25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SHARANABASAPPA S</dc:creator>
  <cp:lastModifiedBy>SHARANABASAPPA S</cp:lastModifiedBy>
  <cp:lastPrinted>2025-08-27T18:20:45Z</cp:lastPrinted>
  <dcterms:created xsi:type="dcterms:W3CDTF">2025-08-25T15:33:23Z</dcterms:created>
  <dcterms:modified xsi:type="dcterms:W3CDTF">2026-01-25T07:34:21Z</dcterms:modified>
</cp:coreProperties>
</file>